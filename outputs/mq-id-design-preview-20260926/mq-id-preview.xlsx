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b6648def9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Q_IDs" sheetId="1" r:id="Ra0eecf04ec104626"/>
    <x:sheet xmlns:r="http://schemas.openxmlformats.org/officeDocument/2006/relationships" name="Evidence" sheetId="2" r:id="Re285589756a24683"/>
    <x:sheet xmlns:r="http://schemas.openxmlformats.org/officeDocument/2006/relationships" name="Comparison" sheetId="3" r:id="Rcbacbbeed763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1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4F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1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652a6647a4fc9" /><Relationship Type="http://schemas.openxmlformats.org/officeDocument/2006/relationships/theme" Target="/xl/theme/theme1.xml" Id="Ra513cff9bc4a4236" /><Relationship Type="http://schemas.openxmlformats.org/officeDocument/2006/relationships/sharedStrings" Target="/xl/sharedStrings.xml" Id="Ra4db7e6e4d724523" /><Relationship Type="http://schemas.openxmlformats.org/officeDocument/2006/relationships/worksheet" Target="/xl/worksheets/sheet1.xml" Id="Ra0eecf04ec104626" /><Relationship Type="http://schemas.openxmlformats.org/officeDocument/2006/relationships/worksheet" Target="/xl/worksheets/sheet2.xml" Id="Re285589756a24683" /><Relationship Type="http://schemas.openxmlformats.org/officeDocument/2006/relationships/worksheet" Target="/xl/worksheets/sheet3.xml" Id="Rcbacbbeed76342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24" customHeight="1"/>
    <x:row r="2" ht="28" customHeight="1">
      <x:c r="A2" s="2" t="str">
        <x:v>Extracted MQ IDs</x:v>
      </x:c>
    </x:row>
    <x:row r="3" ht="24" customHeight="1">
      <x:c r="A3" s="1"/>
    </x:row>
    <x:row r="4" ht="24" customHeight="1">
      <x:c r="A4" s="6" t="str">
        <x:v>MQ ID</x:v>
      </x:c>
    </x:row>
    <x:row r="5" ht="24" customHeight="1">
      <x:c r="A5" s="14" t="str">
        <x:v>MQ-0001</x:v>
      </x:c>
    </x:row>
    <x:row r="6" ht="24" customHeight="1">
      <x:c r="A6" s="15" t="str">
        <x:v>MQ-0002</x:v>
      </x:c>
    </x:row>
    <x:row r="7" ht="24" customHeight="1">
      <x:c r="A7" s="15" t="str">
        <x:v>MQ-0004</x:v>
      </x:c>
    </x:row>
    <x:row r="8" ht="24" customHeight="1">
      <x:c r="A8" s="16" t="str">
        <x:v>MQ-0005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22" customHeight="1"/>
    <x:row r="2" ht="28" customHeight="1">
      <x:c r="A2" s="2" t="str">
        <x:v>Run details and raw log</x:v>
      </x:c>
      <x:c r="B2" s="1"/>
    </x:row>
    <x:row r="3" ht="22" customHeight="1">
      <x:c r="A3" s="1"/>
      <x:c r="B3" s="1"/>
    </x:row>
    <x:row r="4" ht="23" customHeight="1">
      <x:c r="A4" s="18" t="str">
        <x:v>Run details</x:v>
      </x:c>
      <x:c r="B4" s="18"/>
    </x:row>
    <x:row r="5" ht="22" customHeight="1">
      <x:c r="A5" s="20" t="str">
        <x:v>Date</x:v>
      </x:c>
      <x:c r="B5" s="1" t="str">
        <x:v>2026-09-26</x:v>
      </x:c>
    </x:row>
    <x:row r="6" ht="22" customHeight="1">
      <x:c r="A6" s="20" t="str">
        <x:v>Environment</x:v>
      </x:c>
      <x:c r="B6" s="1" t="str">
        <x:v>Sample Env A</x:v>
      </x:c>
    </x:row>
    <x:row r="7" ht="22" customHeight="1">
      <x:c r="A7" s="20" t="str">
        <x:v>Server</x:v>
      </x:c>
      <x:c r="B7" s="1" t="str">
        <x:v>Sample Server A</x:v>
      </x:c>
    </x:row>
    <x:row r="8" ht="22" customHeight="1">
      <x:c r="A8" s="20" t="str">
        <x:v>Run</x:v>
      </x:c>
      <x:c r="B8" s="1" t="str">
        <x:v>9001</x:v>
      </x:c>
    </x:row>
    <x:row r="9" ht="22" customHeight="1">
      <x:c r="A9" s="1"/>
      <x:c r="B9" s="1"/>
    </x:row>
    <x:row r="10" ht="24" customHeight="1">
      <x:c r="A10" s="18" t="str">
        <x:v>Raw log</x:v>
      </x:c>
      <x:c r="B10" s="18"/>
    </x:row>
    <x:row r="11" ht="24" customHeight="1">
      <x:c r="A11" s="6" t="str">
        <x:v>Log line</x:v>
      </x:c>
      <x:c r="B11" s="6" t="str">
        <x:v>Log text</x:v>
      </x:c>
    </x:row>
    <x:row r="12" ht="22" customHeight="1">
      <x:c r="A12" s="24" t="n">
        <x:v>1</x:v>
      </x:c>
      <x:c r="B12" s="21" t="str">
        <x:v>Date: 2026-09-26</x:v>
      </x:c>
    </x:row>
    <x:row r="13" ht="22" customHeight="1">
      <x:c r="A13" s="25" t="n">
        <x:v>2</x:v>
      </x:c>
      <x:c r="B13" s="22" t="str">
        <x:v>Environment: Sample Env A</x:v>
      </x:c>
    </x:row>
    <x:row r="14" ht="22" customHeight="1">
      <x:c r="A14" s="25" t="n">
        <x:v>3</x:v>
      </x:c>
      <x:c r="B14" s="22" t="str">
        <x:v>Server: Sample Server A</x:v>
      </x:c>
    </x:row>
    <x:row r="15" ht="22" customHeight="1">
      <x:c r="A15" s="25" t="n">
        <x:v>4</x:v>
      </x:c>
      <x:c r="B15" s="22" t="str">
        <x:v>Run: 9001</x:v>
      </x:c>
    </x:row>
    <x:row r="16" ht="22" customHeight="1">
      <x:c r="A16" s="25" t="n">
        <x:v>5</x:v>
      </x:c>
      <x:c r="B16" s="22" t="str">
        <x:v>INFO 08:00:00 MQ refresh started on the sample server.</x:v>
      </x:c>
    </x:row>
    <x:row r="17" ht="22" customHeight="1">
      <x:c r="A17" s="25" t="n">
        <x:v>6</x:v>
      </x:c>
      <x:c r="B17" s="22" t="str">
        <x:v>INFO 08:00:01 Loading queue definitions from local configuration.</x:v>
      </x:c>
    </x:row>
    <x:row r="18" ht="22" customHeight="1">
      <x:c r="A18" s="25" t="n">
        <x:v>7</x:v>
      </x:c>
      <x:c r="B18" s="22" t="str">
        <x:v>MQ_BOX_ID=MQ-0001</x:v>
      </x:c>
    </x:row>
    <x:row r="19" ht="22" customHeight="1">
      <x:c r="A19" s="25" t="n">
        <x:v>8</x:v>
      </x:c>
      <x:c r="B19" s="22" t="str">
        <x:v>INFO 08:00:02 Queue MQ-0001 is ready.</x:v>
      </x:c>
    </x:row>
    <x:row r="20" ht="22" customHeight="1">
      <x:c r="A20" s="25" t="n">
        <x:v>9</x:v>
      </x:c>
      <x:c r="B20" s="22" t="str">
        <x:v>MQ_BOX_ID=MQ-0002</x:v>
      </x:c>
    </x:row>
    <x:row r="21" ht="22" customHeight="1">
      <x:c r="A21" s="25" t="n">
        <x:v>10</x:v>
      </x:c>
      <x:c r="B21" s="22" t="str">
        <x:v>WARN 08:00:03 Retry count was 0; no retry was needed.</x:v>
      </x:c>
    </x:row>
    <x:row r="22" ht="22" customHeight="1">
      <x:c r="A22" s="25" t="n">
        <x:v>11</x:v>
      </x:c>
      <x:c r="B22" s="22" t="str">
        <x:v>INFO 08:00:04 MQ_BOX_STATUS=READY is not an ID.</x:v>
      </x:c>
    </x:row>
    <x:row r="23" ht="22" customHeight="1">
      <x:c r="A23" s="25" t="n">
        <x:v>12</x:v>
      </x:c>
      <x:c r="B23" s="22" t="str">
        <x:v>INFO 08:00:05 Reading the next queue group.</x:v>
      </x:c>
    </x:row>
    <x:row r="24" ht="22" customHeight="1">
      <x:c r="A24" s="25" t="n">
        <x:v>13</x:v>
      </x:c>
      <x:c r="B24" s="22" t="str">
        <x:v>MQ_BOX_ID=MQ-0004</x:v>
      </x:c>
    </x:row>
    <x:row r="25" ht="22" customHeight="1">
      <x:c r="A25" s="25" t="n">
        <x:v>14</x:v>
      </x:c>
      <x:c r="B25" s="22" t="str">
        <x:v>INFO 08:00:06 Reference code REF-9012 is not an MQ box ID.</x:v>
      </x:c>
    </x:row>
    <x:row r="26" ht="22" customHeight="1">
      <x:c r="A26" s="25" t="n">
        <x:v>15</x:v>
      </x:c>
      <x:c r="B26" s="22" t="str">
        <x:v>INFO 08:00:07 Preparing the final queue.</x:v>
      </x:c>
    </x:row>
    <x:row r="27" ht="22" customHeight="1">
      <x:c r="A27" s="25" t="n">
        <x:v>16</x:v>
      </x:c>
      <x:c r="B27" s="22" t="str">
        <x:v>MQ_BOX_ID=MQ-0005</x:v>
      </x:c>
    </x:row>
    <x:row r="28" ht="22" customHeight="1">
      <x:c r="A28" s="25" t="n">
        <x:v>17</x:v>
      </x:c>
      <x:c r="B28" s="22" t="str">
        <x:v>INFO 08:00:08 Wrote 4 queue IDs to the result log.</x:v>
      </x:c>
    </x:row>
    <x:row r="29" ht="22" customHeight="1">
      <x:c r="A29" s="25" t="n">
        <x:v>18</x:v>
      </x:c>
      <x:c r="B29" s="22" t="str">
        <x:v>INFO 08:00:09 MQ refresh batch finished.</x:v>
      </x:c>
    </x:row>
    <x:row r="30" ht="22" customHeight="1">
      <x:c r="A30" s="26" t="n">
        <x:v>19</x:v>
      </x:c>
      <x:c r="B30" s="23" t="str">
        <x:v>ALL SUCCESS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3" hidden="0" customWidth="1"/>
    <x:col min="4" max="4" width="22" hidden="0" customWidth="1"/>
    <x:col min="5" max="5" width="3" hidden="0" customWidth="1"/>
    <x:col min="6" max="6" width="18" hidden="0" customWidth="1"/>
    <x:col min="7" max="7" width="12" hidden="0" customWidth="1"/>
  </x:cols>
  <x:sheetData>
    <x:row r="1" ht="28" customHeight="1">
      <x:c r="A1" s="2" t="str">
        <x:v>MQ ID Comparison</x:v>
      </x:c>
      <x:c r="B1" s="1"/>
      <x:c r="C1" s="1"/>
      <x:c r="D1" s="1"/>
      <x:c r="E1" s="1"/>
      <x:c r="F1" s="1"/>
      <x:c r="G1" s="1"/>
    </x:row>
    <x:row r="2" ht="22" customHeight="1">
      <x:c r="A2" s="27" t="str">
        <x:v>Log end</x:v>
      </x:c>
      <x:c r="B2" s="1" t="str">
        <x:v>ALL SUCCESS</x:v>
      </x:c>
      <x:c r="C2" s="1"/>
      <x:c r="D2" s="1"/>
      <x:c r="E2" s="1"/>
      <x:c r="F2" s="1"/>
      <x:c r="G2" s="1"/>
    </x:row>
    <x:row r="3" ht="22" customHeight="1">
      <x:c r="A3" s="27" t="str">
        <x:v>Meaning</x:v>
      </x:c>
      <x:c r="B3" s="1" t="str">
        <x:v>Batch completed. This does not guarantee every ID was applied.</x:v>
      </x:c>
      <x:c r="C3" s="1"/>
      <x:c r="D3" s="1"/>
      <x:c r="E3" s="1"/>
      <x:c r="F3" s="1"/>
      <x:c r="G3" s="1"/>
    </x:row>
    <x:row r="4" ht="22" customHeight="1">
      <x:c r="A4" s="1"/>
      <x:c r="B4" s="1"/>
      <x:c r="C4" s="1"/>
      <x:c r="D4" s="1"/>
      <x:c r="E4" s="1"/>
      <x:c r="F4" s="1"/>
      <x:c r="G4" s="1"/>
    </x:row>
    <x:row r="5" ht="24" customHeight="1">
      <x:c r="A5" s="31" t="str">
        <x:v>Planned MQ ID</x:v>
      </x:c>
      <x:c r="B5" s="31" t="str">
        <x:v>Log match</x:v>
      </x:c>
      <x:c r="C5" s="1"/>
      <x:c r="D5" s="31" t="str">
        <x:v>Recorded MQ ID</x:v>
      </x:c>
      <x:c r="E5" s="1"/>
      <x:c r="F5" s="31" t="str">
        <x:v>Metric</x:v>
      </x:c>
      <x:c r="G5" s="31" t="str">
        <x:v>Count</x:v>
      </x:c>
    </x:row>
    <x:row r="6" ht="22" customHeight="1">
      <x:c r="A6" s="32" t="str">
        <x:v>MQ-0001</x:v>
      </x:c>
      <x:c r="B6" s="33" t="str">
        <x:f>IF(COUNTIF($D$6:$D$9,A6)=0,"Not Recorded","Recorded")</x:f>
        <x:v>Recorded</x:v>
      </x:c>
      <x:c r="C6" s="1"/>
      <x:c r="D6" s="32" t="str">
        <x:v>MQ-0001</x:v>
      </x:c>
      <x:c r="E6" s="1"/>
      <x:c r="F6" s="33" t="str">
        <x:v>Planned</x:v>
      </x:c>
      <x:c r="G6" s="36" t="n">
        <x:f>COUNTA(A6:A10)</x:f>
        <x:v>5</x:v>
      </x:c>
    </x:row>
    <x:row r="7" ht="22" customHeight="1">
      <x:c r="A7" s="32" t="str">
        <x:v>MQ-0002</x:v>
      </x:c>
      <x:c r="B7" s="33" t="str">
        <x:f>IF(COUNTIF($D$6:$D$9,A7)=0,"Not Recorded","Recorded")</x:f>
        <x:v>Recorded</x:v>
      </x:c>
      <x:c r="C7" s="1"/>
      <x:c r="D7" s="32" t="str">
        <x:v>MQ-0002</x:v>
      </x:c>
      <x:c r="E7" s="1"/>
      <x:c r="F7" s="33" t="str">
        <x:v>Logged</x:v>
      </x:c>
      <x:c r="G7" s="36" t="n">
        <x:f>COUNTA(D6:D9)</x:f>
        <x:v>4</x:v>
      </x:c>
    </x:row>
    <x:row r="8" ht="22" customHeight="1">
      <x:c r="A8" s="32" t="str">
        <x:v>MQ-0003</x:v>
      </x:c>
      <x:c r="B8" s="33" t="str">
        <x:f>IF(COUNTIF($D$6:$D$9,A8)=0,"Not Recorded","Recorded")</x:f>
        <x:v>Not Recorded</x:v>
      </x:c>
      <x:c r="C8" s="1"/>
      <x:c r="D8" s="32" t="str">
        <x:v>MQ-0004</x:v>
      </x:c>
      <x:c r="E8" s="1"/>
      <x:c r="F8" s="35" t="str">
        <x:v>Not Recorded</x:v>
      </x:c>
      <x:c r="G8" s="37" t="n">
        <x:f>COUNTIF(B6:B10,"Not Recorded")</x:f>
        <x:v>1</x:v>
      </x:c>
    </x:row>
    <x:row r="9" ht="22" customHeight="1">
      <x:c r="A9" s="32" t="str">
        <x:v>MQ-0004</x:v>
      </x:c>
      <x:c r="B9" s="33" t="str">
        <x:f>IF(COUNTIF($D$6:$D$9,A9)=0,"Not Recorded","Recorded")</x:f>
        <x:v>Recorded</x:v>
      </x:c>
      <x:c r="C9" s="1"/>
      <x:c r="D9" s="34" t="str">
        <x:v>MQ-0005</x:v>
      </x:c>
      <x:c r="E9" s="1"/>
      <x:c r="F9" s="1"/>
      <x:c r="G9" s="1"/>
    </x:row>
    <x:row r="10" ht="22" customHeight="1">
      <x:c r="A10" s="34" t="str">
        <x:v>MQ-0005</x:v>
      </x:c>
      <x:c r="B10" s="35" t="str">
        <x:f>IF(COUNTIF($D$6:$D$9,A10)=0,"Not Recorded","Recorded")</x:f>
        <x:v>Recorded</x:v>
      </x:c>
      <x:c r="C10" s="1"/>
      <x:c r="D10" s="1"/>
      <x:c r="E10" s="1"/>
      <x:c r="F10" s="1"/>
      <x:c r="G10" s="1"/>
    </x:row>
  </x:sheetData>
  <x:conditionalFormatting sqref="B6:B10">
    <x:cfRule type="containsText" dxfId="0" priority="1" operator="containsText" text="Not Recorded"/>
  </x:conditionalFormatting>
  <x:pageMargins left="0.7" right="0.7" top="0.75" bottom="0.75" header="0.3" footer="0.3"/>
</x:worksheet>
</file>